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me\Documents\"/>
    </mc:Choice>
  </mc:AlternateContent>
  <bookViews>
    <workbookView minimized="1" xWindow="0" yWindow="0" windowWidth="23040" windowHeight="9384" firstSheet="1" activeTab="4"/>
  </bookViews>
  <sheets>
    <sheet name="Feuil4" sheetId="4" state="hidden" r:id="rId1"/>
    <sheet name="client" sheetId="1" r:id="rId2"/>
    <sheet name="catalogue" sheetId="3" r:id="rId3"/>
    <sheet name="facture" sheetId="2" r:id="rId4"/>
    <sheet name="Feuil1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5" l="1"/>
  <c r="F20" i="5" l="1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19" i="5" l="1"/>
  <c r="F18" i="5"/>
  <c r="F17" i="5"/>
  <c r="F16" i="5"/>
  <c r="F15" i="5"/>
  <c r="F14" i="5"/>
  <c r="F13" i="5"/>
  <c r="F12" i="5"/>
  <c r="F11" i="5"/>
  <c r="F10" i="5"/>
  <c r="F9" i="5"/>
  <c r="B4" i="5"/>
  <c r="B1" i="5"/>
  <c r="D23" i="2" l="1"/>
  <c r="D24" i="2"/>
  <c r="D25" i="2"/>
  <c r="D26" i="2"/>
  <c r="D27" i="2"/>
  <c r="D28" i="2"/>
  <c r="D29" i="2"/>
  <c r="D30" i="2"/>
  <c r="D31" i="2"/>
  <c r="D32" i="2"/>
  <c r="D33" i="2"/>
  <c r="D34" i="2"/>
  <c r="D22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D21" i="2"/>
  <c r="B21" i="2"/>
  <c r="E11" i="2" l="1"/>
  <c r="E10" i="2"/>
  <c r="F3" i="5" l="1"/>
</calcChain>
</file>

<file path=xl/sharedStrings.xml><?xml version="1.0" encoding="utf-8"?>
<sst xmlns="http://schemas.openxmlformats.org/spreadsheetml/2006/main" count="58" uniqueCount="56">
  <si>
    <t>Numero</t>
  </si>
  <si>
    <t>Raison sociale</t>
  </si>
  <si>
    <t>Adress</t>
  </si>
  <si>
    <t>rtyui</t>
  </si>
  <si>
    <t>REF</t>
  </si>
  <si>
    <t>Designetion</t>
  </si>
  <si>
    <t>Prix UNIT</t>
  </si>
  <si>
    <t>Facture</t>
  </si>
  <si>
    <t>Facture Numero</t>
  </si>
  <si>
    <t>Livraison</t>
  </si>
  <si>
    <t>Reglement</t>
  </si>
  <si>
    <t>Numero client</t>
  </si>
  <si>
    <t>Raison Sociale</t>
  </si>
  <si>
    <t>Adresse</t>
  </si>
  <si>
    <t>DESIGNATION</t>
  </si>
  <si>
    <t>QTE</t>
  </si>
  <si>
    <t>PRIX UNIT</t>
  </si>
  <si>
    <t>MONTANT</t>
  </si>
  <si>
    <t>Total HT</t>
  </si>
  <si>
    <t>Remise</t>
  </si>
  <si>
    <t>Net commercial</t>
  </si>
  <si>
    <t>Frais de Transport</t>
  </si>
  <si>
    <t>TVA a 19.6%</t>
  </si>
  <si>
    <t>Montant TTC a payer</t>
  </si>
  <si>
    <t>boite 10 cederom</t>
  </si>
  <si>
    <t>disque dur 80 Go</t>
  </si>
  <si>
    <t>disque Dur 60 Go</t>
  </si>
  <si>
    <t>Disque Dur 20 Go</t>
  </si>
  <si>
    <t>Imprimante CANON BJ 20e</t>
  </si>
  <si>
    <t>Micro Pentium IV 2 Ghz</t>
  </si>
  <si>
    <t>Micro Pentium IV 2.2 Ghz</t>
  </si>
  <si>
    <t>Micro AMD 1700 XP</t>
  </si>
  <si>
    <t>Moniteur Couleur SVGA 17"</t>
  </si>
  <si>
    <t>Moniteur Couleur NEC 3 FG 17"</t>
  </si>
  <si>
    <t>Moniteur Couleur NEC 4 FG 17"</t>
  </si>
  <si>
    <t>Monieur SONY multisync 17"</t>
  </si>
  <si>
    <t>Monieur  SONY multisync 19"</t>
  </si>
  <si>
    <t xml:space="preserve">RAM 258 Mo </t>
  </si>
  <si>
    <t>dfghjk</t>
  </si>
  <si>
    <t>dsfghjk</t>
  </si>
  <si>
    <t>dtfgyhjk</t>
  </si>
  <si>
    <t>oiuytr</t>
  </si>
  <si>
    <t>Montant de l'emprunt:</t>
  </si>
  <si>
    <t>Taux annuel:</t>
  </si>
  <si>
    <t>Duree en mois:</t>
  </si>
  <si>
    <t>Date de l'emprunt:</t>
  </si>
  <si>
    <t>interets cumules:</t>
  </si>
  <si>
    <t>Numero Echeances</t>
  </si>
  <si>
    <t>Echeances</t>
  </si>
  <si>
    <t>Capital restant du</t>
  </si>
  <si>
    <t>Interets</t>
  </si>
  <si>
    <t>Amortissement du capital</t>
  </si>
  <si>
    <t>non</t>
  </si>
  <si>
    <t>Mensualite</t>
  </si>
  <si>
    <t>said</t>
  </si>
  <si>
    <t>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</si>
</sst>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"/>
    <numFmt numFmtId="165" formatCode="0.000000"/>
  </numFmts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4" borderId="2" xfId="0" applyFill="1" applyBorder="1"/>
    <xf numFmtId="0" fontId="0" fillId="0" borderId="1" xfId="0" applyBorder="1"/>
    <xf numFmtId="18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/>
    <xf numFmtId="0" fontId="0" fillId="7" borderId="1" xfId="0" applyFill="1" applyBorder="1"/>
    <xf numFmtId="14" fontId="0" fillId="0" borderId="0" xfId="0" applyNumberFormat="1"/>
    <xf numFmtId="14" fontId="0" fillId="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14" fontId="0" fillId="8" borderId="1" xfId="0" applyNumberFormat="1" applyFill="1" applyBorder="1" applyAlignment="1">
      <alignment horizontal="center" vertical="center" wrapText="1"/>
    </xf>
    <xf numFmtId="9" fontId="0" fillId="2" borderId="1" xfId="1" applyFont="1" applyFill="1" applyBorder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6" borderId="1" xfId="0" applyNumberFormat="1" applyFill="1" applyBorder="1"/>
    <xf numFmtId="0" fontId="0" fillId="3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3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0</xdr:row>
          <xdr:rowOff>0</xdr:rowOff>
        </xdr:from>
        <xdr:to>
          <xdr:col>8</xdr:col>
          <xdr:colOff>586740</xdr:colOff>
          <xdr:row>3</xdr:row>
          <xdr:rowOff>38100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0</xdr:row>
          <xdr:rowOff>0</xdr:rowOff>
        </xdr:from>
        <xdr:to>
          <xdr:col>7</xdr:col>
          <xdr:colOff>746760</xdr:colOff>
          <xdr:row>3</xdr:row>
          <xdr:rowOff>60960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91440</xdr:rowOff>
        </xdr:from>
        <xdr:to>
          <xdr:col>10</xdr:col>
          <xdr:colOff>426720</xdr:colOff>
          <xdr:row>23</xdr:row>
          <xdr:rowOff>251460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213360</xdr:colOff>
          <xdr:row>9</xdr:row>
          <xdr:rowOff>129540</xdr:rowOff>
        </xdr:from>
        <xdr:to>
          <xdr:col>11</xdr:col>
          <xdr:colOff>419100</xdr:colOff>
          <xdr:row>12</xdr:row>
          <xdr:rowOff>60960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198120</xdr:colOff>
          <xdr:row>6</xdr:row>
          <xdr:rowOff>327660</xdr:rowOff>
        </xdr:from>
        <xdr:to>
          <xdr:col>11</xdr:col>
          <xdr:colOff>411480</xdr:colOff>
          <xdr:row>8</xdr:row>
          <xdr:rowOff>167640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Clt" displayName="Clt" ref="A1:C7" totalsRowShown="0" headerRowDxfId="2" headerRowBorderDxfId="1" tableBorderDxfId="0">
  <autoFilter ref="A1:C7"/>
  <tableColumns count="3">
    <tableColumn id="1" name="Numero"/>
    <tableColumn id="2" name="Raison sociale"/>
    <tableColumn id="3" name="Adress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4" name="Tbl" displayName="Tbl" ref="A1:C16" totalsRowShown="0">
  <autoFilter ref="A1:C16"/>
  <tableColumns count="3">
    <tableColumn id="1" name="REF"/>
    <tableColumn id="2" name="Designetion"/>
    <tableColumn id="3" name="Prix UN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>
      <selection activeCell="A3" sqref="A3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9"/>
  <sheetViews>
    <sheetView workbookViewId="0">
      <selection activeCell="E5" sqref="E5"/>
    </sheetView>
  </sheetViews>
  <sheetFormatPr baseColWidth="10" defaultRowHeight="14.4" x14ac:dyDescent="0.3"/>
  <cols>
    <col min="2" max="2" width="20.6640625" customWidth="1"/>
    <col min="3" max="3" width="20" customWidth="1"/>
  </cols>
  <sheetData>
    <row r="1" spans="1:3" ht="19.2" customHeight="1" x14ac:dyDescent="0.3">
      <c r="A1" s="1" t="s">
        <v>0</v>
      </c>
      <c r="B1" s="1" t="s">
        <v>1</v>
      </c>
      <c r="C1" s="1" t="s">
        <v>2</v>
      </c>
    </row>
    <row r="2" spans="1:3" ht="17.399999999999999" customHeight="1" x14ac:dyDescent="0.3">
      <c r="A2">
        <v>1</v>
      </c>
      <c r="B2" t="s">
        <v>38</v>
      </c>
      <c r="C2" t="s">
        <v>39</v>
      </c>
    </row>
    <row r="3" spans="1:3" ht="14.4" customHeight="1" x14ac:dyDescent="0.3">
      <c r="A3">
        <v>2</v>
      </c>
      <c r="B3" t="s">
        <v>40</v>
      </c>
      <c r="C3" t="s">
        <v>3</v>
      </c>
    </row>
    <row r="4" spans="1:3" ht="15.6" customHeight="1" x14ac:dyDescent="0.3">
      <c r="A4">
        <v>3</v>
      </c>
      <c r="B4" t="s">
        <v>41</v>
      </c>
      <c r="C4" t="s">
        <v>41</v>
      </c>
    </row>
    <row r="5" spans="1:3" ht="16.8" customHeight="1" x14ac:dyDescent="0.3">
      <c r="A5">
        <v>4</v>
      </c>
      <c r="B5" t="s">
        <v>54</v>
      </c>
      <c r="C5" t="s">
        <v>55</v>
      </c>
    </row>
    <row r="9" spans="1:3" x14ac:dyDescent="0.3">
      <c r="C9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autoLine="0" r:id="rId5">
            <anchor moveWithCells="1">
              <from>
                <xdr:col>6</xdr:col>
                <xdr:colOff>45720</xdr:colOff>
                <xdr:row>0</xdr:row>
                <xdr:rowOff>0</xdr:rowOff>
              </from>
              <to>
                <xdr:col>8</xdr:col>
                <xdr:colOff>586740</xdr:colOff>
                <xdr:row>3</xdr:row>
                <xdr:rowOff>38100</xdr:rowOff>
              </to>
            </anchor>
          </controlPr>
        </control>
      </mc:Choice>
      <mc:Fallback>
        <control shapeId="1033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C15"/>
  <sheetViews>
    <sheetView workbookViewId="0">
      <selection activeCell="D14" sqref="D14"/>
    </sheetView>
  </sheetViews>
  <sheetFormatPr baseColWidth="10" defaultRowHeight="14.4" x14ac:dyDescent="0.3"/>
  <cols>
    <col min="1" max="1" width="10.44140625" customWidth="1"/>
    <col min="2" max="2" width="26" customWidth="1"/>
    <col min="3" max="3" width="22.21875" customWidth="1"/>
  </cols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>
        <v>1</v>
      </c>
      <c r="B2" t="s">
        <v>37</v>
      </c>
      <c r="C2">
        <v>170</v>
      </c>
    </row>
    <row r="3" spans="1:3" x14ac:dyDescent="0.3">
      <c r="A3">
        <v>2</v>
      </c>
      <c r="B3" t="s">
        <v>24</v>
      </c>
      <c r="C3">
        <v>8</v>
      </c>
    </row>
    <row r="4" spans="1:3" x14ac:dyDescent="0.3">
      <c r="A4">
        <v>3</v>
      </c>
      <c r="B4" t="s">
        <v>25</v>
      </c>
      <c r="C4">
        <v>200</v>
      </c>
    </row>
    <row r="5" spans="1:3" x14ac:dyDescent="0.3">
      <c r="A5">
        <v>4</v>
      </c>
      <c r="B5" t="s">
        <v>26</v>
      </c>
      <c r="C5">
        <v>180</v>
      </c>
    </row>
    <row r="6" spans="1:3" x14ac:dyDescent="0.3">
      <c r="A6">
        <v>5</v>
      </c>
      <c r="B6" t="s">
        <v>27</v>
      </c>
      <c r="C6">
        <v>110</v>
      </c>
    </row>
    <row r="7" spans="1:3" x14ac:dyDescent="0.3">
      <c r="A7">
        <v>6</v>
      </c>
      <c r="B7" t="s">
        <v>28</v>
      </c>
      <c r="C7">
        <v>110</v>
      </c>
    </row>
    <row r="8" spans="1:3" x14ac:dyDescent="0.3">
      <c r="A8">
        <v>7</v>
      </c>
      <c r="B8" t="s">
        <v>29</v>
      </c>
      <c r="C8">
        <v>2000</v>
      </c>
    </row>
    <row r="9" spans="1:3" x14ac:dyDescent="0.3">
      <c r="A9">
        <v>8</v>
      </c>
      <c r="B9" t="s">
        <v>30</v>
      </c>
      <c r="C9">
        <v>2120</v>
      </c>
    </row>
    <row r="10" spans="1:3" x14ac:dyDescent="0.3">
      <c r="A10">
        <v>9</v>
      </c>
      <c r="B10" t="s">
        <v>31</v>
      </c>
      <c r="C10">
        <v>1897</v>
      </c>
    </row>
    <row r="11" spans="1:3" x14ac:dyDescent="0.3">
      <c r="A11">
        <v>10</v>
      </c>
      <c r="B11" t="s">
        <v>32</v>
      </c>
      <c r="C11">
        <v>150</v>
      </c>
    </row>
    <row r="12" spans="1:3" x14ac:dyDescent="0.3">
      <c r="A12">
        <v>11</v>
      </c>
      <c r="B12" t="s">
        <v>33</v>
      </c>
      <c r="C12">
        <v>198</v>
      </c>
    </row>
    <row r="13" spans="1:3" x14ac:dyDescent="0.3">
      <c r="A13">
        <v>12</v>
      </c>
      <c r="B13" t="s">
        <v>34</v>
      </c>
      <c r="C13">
        <v>231</v>
      </c>
    </row>
    <row r="14" spans="1:3" x14ac:dyDescent="0.3">
      <c r="A14">
        <v>13</v>
      </c>
      <c r="B14" t="s">
        <v>35</v>
      </c>
      <c r="C14">
        <v>245</v>
      </c>
    </row>
    <row r="15" spans="1:3" x14ac:dyDescent="0.3">
      <c r="A15">
        <v>14</v>
      </c>
      <c r="B15" t="s">
        <v>36</v>
      </c>
      <c r="C15">
        <v>312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388620</xdr:colOff>
                <xdr:row>0</xdr:row>
                <xdr:rowOff>0</xdr:rowOff>
              </from>
              <to>
                <xdr:col>7</xdr:col>
                <xdr:colOff>746760</xdr:colOff>
                <xdr:row>3</xdr:row>
                <xdr:rowOff>60960</xdr:rowOff>
              </to>
            </anchor>
          </controlPr>
        </control>
      </mc:Choice>
      <mc:Fallback>
        <control shapeId="3074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U43"/>
  <sheetViews>
    <sheetView topLeftCell="A7" zoomScale="83" zoomScaleNormal="83" workbookViewId="0">
      <selection activeCell="B25" sqref="B25"/>
    </sheetView>
  </sheetViews>
  <sheetFormatPr baseColWidth="10" defaultRowHeight="14.4" x14ac:dyDescent="0.3"/>
  <cols>
    <col min="1" max="1" width="19.109375" customWidth="1"/>
    <col min="2" max="2" width="36.5546875" customWidth="1"/>
    <col min="3" max="4" width="13.5546875" customWidth="1"/>
    <col min="5" max="5" width="22.6640625" customWidth="1"/>
  </cols>
  <sheetData>
    <row r="1" spans="1:21" x14ac:dyDescent="0.3">
      <c r="A1" s="18" t="s">
        <v>7</v>
      </c>
      <c r="B1" s="19"/>
      <c r="C1" s="19"/>
      <c r="D1" s="19"/>
      <c r="E1" s="19"/>
      <c r="F1" s="19"/>
      <c r="G1" s="19"/>
      <c r="H1" s="19"/>
      <c r="I1" s="19"/>
    </row>
    <row r="2" spans="1:21" x14ac:dyDescent="0.3">
      <c r="A2" s="19"/>
      <c r="B2" s="19"/>
      <c r="C2" s="19"/>
      <c r="D2" s="19"/>
      <c r="E2" s="19"/>
      <c r="F2" s="19"/>
      <c r="G2" s="19"/>
      <c r="H2" s="19"/>
      <c r="I2" s="19"/>
    </row>
    <row r="3" spans="1:21" x14ac:dyDescent="0.3">
      <c r="A3" s="19"/>
      <c r="B3" s="19"/>
      <c r="C3" s="19"/>
      <c r="D3" s="19"/>
      <c r="E3" s="19"/>
      <c r="F3" s="19"/>
      <c r="G3" s="19"/>
      <c r="H3" s="19"/>
      <c r="I3" s="19"/>
    </row>
    <row r="4" spans="1:21" x14ac:dyDescent="0.3">
      <c r="A4" s="19"/>
      <c r="B4" s="19"/>
      <c r="C4" s="19"/>
      <c r="D4" s="19"/>
      <c r="E4" s="19"/>
      <c r="F4" s="19"/>
      <c r="G4" s="19"/>
      <c r="H4" s="19"/>
      <c r="I4" s="19"/>
    </row>
    <row r="5" spans="1:21" x14ac:dyDescent="0.3">
      <c r="A5" s="19"/>
      <c r="B5" s="19"/>
      <c r="C5" s="19"/>
      <c r="D5" s="19"/>
      <c r="E5" s="19"/>
      <c r="F5" s="19"/>
      <c r="G5" s="19"/>
      <c r="H5" s="19"/>
      <c r="I5" s="19"/>
      <c r="U5">
        <v>0</v>
      </c>
    </row>
    <row r="9" spans="1:21" ht="22.2" customHeight="1" x14ac:dyDescent="0.3">
      <c r="A9" s="4" t="s">
        <v>8</v>
      </c>
      <c r="B9" s="2"/>
      <c r="D9" s="4" t="s">
        <v>11</v>
      </c>
      <c r="E9" s="20">
        <v>1</v>
      </c>
      <c r="F9" s="20"/>
      <c r="G9" s="20"/>
      <c r="H9" s="20"/>
      <c r="I9" s="20"/>
    </row>
    <row r="10" spans="1:21" ht="22.2" customHeight="1" x14ac:dyDescent="0.3">
      <c r="A10" s="4" t="s">
        <v>9</v>
      </c>
      <c r="B10" s="2" t="s">
        <v>52</v>
      </c>
      <c r="D10" s="4" t="s">
        <v>12</v>
      </c>
      <c r="E10" s="20" t="str">
        <f>IFERROR(VLOOKUP(E9,Clt[#All],2,FALSE),"")</f>
        <v>dfghjk</v>
      </c>
      <c r="F10" s="20"/>
      <c r="G10" s="20"/>
      <c r="H10" s="20"/>
      <c r="I10" s="20"/>
    </row>
    <row r="11" spans="1:21" ht="19.8" customHeight="1" x14ac:dyDescent="0.3">
      <c r="A11" s="4" t="s">
        <v>10</v>
      </c>
      <c r="B11" s="2"/>
      <c r="D11" s="4" t="s">
        <v>13</v>
      </c>
      <c r="E11" s="20" t="str">
        <f>IFERROR(VLOOKUP(E9,Clt[#All],3,FALSE),"")</f>
        <v>dsfghjk</v>
      </c>
      <c r="F11" s="20"/>
      <c r="G11" s="20"/>
      <c r="H11" s="20"/>
      <c r="I11" s="20"/>
    </row>
    <row r="18" spans="1:5" ht="13.2" customHeight="1" x14ac:dyDescent="0.3"/>
    <row r="19" spans="1:5" hidden="1" x14ac:dyDescent="0.3"/>
    <row r="20" spans="1:5" ht="33.6" customHeight="1" x14ac:dyDescent="0.3">
      <c r="A20" s="4" t="s">
        <v>4</v>
      </c>
      <c r="B20" s="4" t="s">
        <v>14</v>
      </c>
      <c r="C20" s="4" t="s">
        <v>15</v>
      </c>
      <c r="D20" s="4" t="s">
        <v>16</v>
      </c>
      <c r="E20" s="4" t="s">
        <v>17</v>
      </c>
    </row>
    <row r="21" spans="1:5" ht="21" customHeight="1" x14ac:dyDescent="0.3">
      <c r="A21" s="5">
        <v>5</v>
      </c>
      <c r="B21" s="5" t="str">
        <f>IFERROR(VLOOKUP(A21,Tbl[#All],2,FALSE),"")</f>
        <v>Disque Dur 20 Go</v>
      </c>
      <c r="C21" s="2">
        <v>3</v>
      </c>
      <c r="D21" s="2">
        <f>_xlfn.IFNA(VLOOKUP(A21,Tbl[#All],3,FALSE),"")</f>
        <v>110</v>
      </c>
      <c r="E21" s="2">
        <v>330</v>
      </c>
    </row>
    <row r="22" spans="1:5" ht="22.8" customHeight="1" x14ac:dyDescent="0.3">
      <c r="A22" s="5">
        <v>2</v>
      </c>
      <c r="B22" s="5" t="str">
        <f>IFERROR(VLOOKUP(A22,Tbl[#All],2,FALSE),"")</f>
        <v>boite 10 cederom</v>
      </c>
      <c r="C22" s="2">
        <v>2</v>
      </c>
      <c r="D22" s="2">
        <f>_xlfn.IFNA(VLOOKUP(A22,Tbl[#All],3,FALSE),"")</f>
        <v>8</v>
      </c>
      <c r="E22" s="2">
        <v>16</v>
      </c>
    </row>
    <row r="23" spans="1:5" ht="24" customHeight="1" x14ac:dyDescent="0.3">
      <c r="A23" s="5">
        <v>4</v>
      </c>
      <c r="B23" s="5" t="str">
        <f>IFERROR(VLOOKUP(A23,Tbl[#All],2,FALSE),"")</f>
        <v>disque Dur 60 Go</v>
      </c>
      <c r="C23" s="2">
        <v>2</v>
      </c>
      <c r="D23" s="2">
        <f>_xlfn.IFNA(VLOOKUP(A23,Tbl[#All],3,FALSE),"")</f>
        <v>180</v>
      </c>
      <c r="E23" s="2">
        <v>360</v>
      </c>
    </row>
    <row r="24" spans="1:5" ht="22.8" customHeight="1" x14ac:dyDescent="0.3">
      <c r="A24" s="5">
        <v>2</v>
      </c>
      <c r="B24" s="5" t="str">
        <f>IFERROR(VLOOKUP(A24,Tbl[#All],2,FALSE),"")</f>
        <v>boite 10 cederom</v>
      </c>
      <c r="C24" s="2">
        <v>2</v>
      </c>
      <c r="D24" s="2">
        <f>_xlfn.IFNA(VLOOKUP(A24,Tbl[#All],3,FALSE),"")</f>
        <v>8</v>
      </c>
      <c r="E24" s="2">
        <v>16</v>
      </c>
    </row>
    <row r="25" spans="1:5" ht="22.8" customHeight="1" x14ac:dyDescent="0.3">
      <c r="A25" s="5">
        <v>3</v>
      </c>
      <c r="B25" s="5" t="str">
        <f>IFERROR(VLOOKUP(A25,Tbl[#All],2,FALSE),"")</f>
        <v>disque dur 80 Go</v>
      </c>
      <c r="C25" s="2"/>
      <c r="D25" s="2">
        <f>_xlfn.IFNA(VLOOKUP(A25,Tbl[#All],3,FALSE),"")</f>
        <v>200</v>
      </c>
      <c r="E25" s="2"/>
    </row>
    <row r="26" spans="1:5" ht="21.6" customHeight="1" x14ac:dyDescent="0.3">
      <c r="A26" s="5"/>
      <c r="B26" s="5" t="str">
        <f>IFERROR(VLOOKUP(A26,Tbl[#All],2,FALSE),"")</f>
        <v/>
      </c>
      <c r="C26" s="2"/>
      <c r="D26" s="2" t="str">
        <f>_xlfn.IFNA(VLOOKUP(A26,Tbl[#All],3,FALSE),"")</f>
        <v/>
      </c>
      <c r="E26" s="2"/>
    </row>
    <row r="27" spans="1:5" ht="22.2" customHeight="1" x14ac:dyDescent="0.3">
      <c r="A27" s="5"/>
      <c r="B27" s="5" t="str">
        <f>IFERROR(VLOOKUP(A27,Tbl[#All],2,FALSE),"")</f>
        <v/>
      </c>
      <c r="C27" s="2"/>
      <c r="D27" s="2" t="str">
        <f>_xlfn.IFNA(VLOOKUP(A27,Tbl[#All],3,FALSE),"")</f>
        <v/>
      </c>
      <c r="E27" s="2"/>
    </row>
    <row r="28" spans="1:5" ht="24.6" customHeight="1" x14ac:dyDescent="0.3">
      <c r="A28" s="5"/>
      <c r="B28" s="5" t="str">
        <f>IFERROR(VLOOKUP(A28,Tbl[#All],2,FALSE),"")</f>
        <v/>
      </c>
      <c r="C28" s="2"/>
      <c r="D28" s="2" t="str">
        <f>_xlfn.IFNA(VLOOKUP(A28,Tbl[#All],3,FALSE),"")</f>
        <v/>
      </c>
      <c r="E28" s="2"/>
    </row>
    <row r="29" spans="1:5" ht="25.2" customHeight="1" x14ac:dyDescent="0.3">
      <c r="A29" s="5"/>
      <c r="B29" s="5" t="str">
        <f>IFERROR(VLOOKUP(A29,Tbl[#All],2,FALSE),"")</f>
        <v/>
      </c>
      <c r="C29" s="2"/>
      <c r="D29" s="2" t="str">
        <f>_xlfn.IFNA(VLOOKUP(A29,Tbl[#All],3,FALSE),"")</f>
        <v/>
      </c>
      <c r="E29" s="2"/>
    </row>
    <row r="30" spans="1:5" ht="21" customHeight="1" x14ac:dyDescent="0.3">
      <c r="A30" s="5"/>
      <c r="B30" s="5" t="str">
        <f>IFERROR(VLOOKUP(A30,Tbl[#All],2,FALSE),"")</f>
        <v/>
      </c>
      <c r="C30" s="2"/>
      <c r="D30" s="2" t="str">
        <f>_xlfn.IFNA(VLOOKUP(A30,Tbl[#All],3,FALSE),"")</f>
        <v/>
      </c>
      <c r="E30" s="2"/>
    </row>
    <row r="31" spans="1:5" ht="22.2" customHeight="1" x14ac:dyDescent="0.3">
      <c r="A31" s="5"/>
      <c r="B31" s="5" t="str">
        <f>IFERROR(VLOOKUP(A31,Tbl[#All],2,FALSE),"")</f>
        <v/>
      </c>
      <c r="C31" s="2"/>
      <c r="D31" s="2" t="str">
        <f>_xlfn.IFNA(VLOOKUP(A31,Tbl[#All],3,FALSE),"")</f>
        <v/>
      </c>
      <c r="E31" s="2"/>
    </row>
    <row r="32" spans="1:5" ht="25.2" customHeight="1" x14ac:dyDescent="0.3">
      <c r="A32" s="5"/>
      <c r="B32" s="5" t="str">
        <f>IFERROR(VLOOKUP(A32,Tbl[#All],2,FALSE),"")</f>
        <v/>
      </c>
      <c r="C32" s="2"/>
      <c r="D32" s="2" t="str">
        <f>_xlfn.IFNA(VLOOKUP(A32,Tbl[#All],3,FALSE),"")</f>
        <v/>
      </c>
      <c r="E32" s="2"/>
    </row>
    <row r="33" spans="1:5" ht="21.6" customHeight="1" x14ac:dyDescent="0.3">
      <c r="A33" s="5"/>
      <c r="B33" s="5" t="str">
        <f>IFERROR(VLOOKUP(A33,Tbl[#All],2,FALSE),"")</f>
        <v/>
      </c>
      <c r="C33" s="2"/>
      <c r="D33" s="2" t="str">
        <f>_xlfn.IFNA(VLOOKUP(A33,Tbl[#All],3,FALSE),"")</f>
        <v/>
      </c>
      <c r="E33" s="2"/>
    </row>
    <row r="34" spans="1:5" ht="27.6" customHeight="1" x14ac:dyDescent="0.3">
      <c r="A34" s="5"/>
      <c r="B34" s="5" t="str">
        <f>IFERROR(VLOOKUP(A34,Tbl[#All],2,FALSE),"")</f>
        <v/>
      </c>
      <c r="C34" s="2"/>
      <c r="D34" s="2" t="str">
        <f>_xlfn.IFNA(VLOOKUP(A34,Tbl[#All],3,FALSE),"")</f>
        <v/>
      </c>
      <c r="E34" s="2"/>
    </row>
    <row r="35" spans="1:5" ht="21" customHeight="1" x14ac:dyDescent="0.3">
      <c r="C35" s="21" t="s">
        <v>18</v>
      </c>
      <c r="D35" s="21"/>
      <c r="E35" s="2">
        <v>722</v>
      </c>
    </row>
    <row r="37" spans="1:5" ht="26.4" customHeight="1" x14ac:dyDescent="0.3">
      <c r="C37" s="17" t="s">
        <v>19</v>
      </c>
      <c r="D37" s="17"/>
      <c r="E37" s="2">
        <v>108.3</v>
      </c>
    </row>
    <row r="38" spans="1:5" ht="26.4" customHeight="1" x14ac:dyDescent="0.3">
      <c r="C38" s="17" t="s">
        <v>20</v>
      </c>
      <c r="D38" s="17"/>
      <c r="E38" s="2">
        <v>613.70000000000005</v>
      </c>
    </row>
    <row r="40" spans="1:5" ht="19.2" customHeight="1" x14ac:dyDescent="0.3"/>
    <row r="41" spans="1:5" ht="13.2" customHeight="1" x14ac:dyDescent="0.3">
      <c r="C41" s="17" t="s">
        <v>21</v>
      </c>
      <c r="D41" s="17"/>
      <c r="E41" s="2">
        <v>0</v>
      </c>
    </row>
    <row r="42" spans="1:5" ht="24" customHeight="1" x14ac:dyDescent="0.3">
      <c r="C42" s="17" t="s">
        <v>22</v>
      </c>
      <c r="D42" s="17"/>
      <c r="E42" s="2">
        <v>120.28520000000002</v>
      </c>
    </row>
    <row r="43" spans="1:5" ht="22.8" customHeight="1" x14ac:dyDescent="0.3">
      <c r="C43" s="17" t="s">
        <v>23</v>
      </c>
      <c r="D43" s="17"/>
      <c r="E43" s="2">
        <v>733.98520000000008</v>
      </c>
    </row>
  </sheetData>
  <mergeCells count="10">
    <mergeCell ref="C41:D41"/>
    <mergeCell ref="C42:D42"/>
    <mergeCell ref="C43:D43"/>
    <mergeCell ref="A1:I5"/>
    <mergeCell ref="E10:I10"/>
    <mergeCell ref="E9:I9"/>
    <mergeCell ref="E11:I11"/>
    <mergeCell ref="C35:D35"/>
    <mergeCell ref="C37:D37"/>
    <mergeCell ref="C38:D38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8</xdr:col>
                <xdr:colOff>7620</xdr:colOff>
                <xdr:row>21</xdr:row>
                <xdr:rowOff>91440</xdr:rowOff>
              </from>
              <to>
                <xdr:col>10</xdr:col>
                <xdr:colOff>426720</xdr:colOff>
                <xdr:row>23</xdr:row>
                <xdr:rowOff>251460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F44"/>
  <sheetViews>
    <sheetView tabSelected="1" workbookViewId="0">
      <selection activeCell="B3" sqref="B3"/>
    </sheetView>
  </sheetViews>
  <sheetFormatPr baseColWidth="10" defaultRowHeight="14.4" x14ac:dyDescent="0.3"/>
  <cols>
    <col min="1" max="1" width="24.88671875" customWidth="1"/>
    <col min="5" max="5" width="17.5546875" customWidth="1"/>
  </cols>
  <sheetData>
    <row r="1" spans="1:6" x14ac:dyDescent="0.3">
      <c r="A1" s="2" t="s">
        <v>42</v>
      </c>
      <c r="B1" s="7">
        <f>facture!E43</f>
        <v>733.98520000000008</v>
      </c>
      <c r="E1" s="8"/>
    </row>
    <row r="2" spans="1:6" x14ac:dyDescent="0.3">
      <c r="A2" s="2" t="s">
        <v>43</v>
      </c>
      <c r="B2" s="12">
        <v>0.05</v>
      </c>
    </row>
    <row r="3" spans="1:6" x14ac:dyDescent="0.3">
      <c r="A3" s="2" t="s">
        <v>44</v>
      </c>
      <c r="B3" s="6">
        <v>15</v>
      </c>
      <c r="E3" s="2" t="s">
        <v>46</v>
      </c>
      <c r="F3" s="16">
        <f>SUM(D8:D19)</f>
        <v>18.66405924298126</v>
      </c>
    </row>
    <row r="4" spans="1:6" x14ac:dyDescent="0.3">
      <c r="A4" s="2" t="s">
        <v>45</v>
      </c>
      <c r="B4" s="9">
        <f ca="1">EOMONTH(TODAY(),0)+1</f>
        <v>44409</v>
      </c>
      <c r="E4" s="8"/>
      <c r="F4" s="13"/>
    </row>
    <row r="5" spans="1:6" x14ac:dyDescent="0.3">
      <c r="E5" s="8"/>
    </row>
    <row r="6" spans="1:6" x14ac:dyDescent="0.3">
      <c r="E6" s="8"/>
    </row>
    <row r="7" spans="1:6" ht="27.6" customHeight="1" x14ac:dyDescent="0.3">
      <c r="A7" s="10" t="s">
        <v>47</v>
      </c>
      <c r="B7" s="10" t="s">
        <v>48</v>
      </c>
      <c r="C7" s="10" t="s">
        <v>49</v>
      </c>
      <c r="D7" s="10" t="s">
        <v>50</v>
      </c>
      <c r="E7" s="11" t="s">
        <v>51</v>
      </c>
      <c r="F7" s="10" t="s">
        <v>53</v>
      </c>
    </row>
    <row r="8" spans="1:6" x14ac:dyDescent="0.3">
      <c r="A8">
        <v>1</v>
      </c>
      <c r="B8" s="8">
        <v>44409</v>
      </c>
      <c r="C8" s="14">
        <v>733.98520000000008</v>
      </c>
      <c r="D8" s="14">
        <v>2.4466173333333336</v>
      </c>
      <c r="E8" s="13">
        <v>47.800723542270283</v>
      </c>
      <c r="F8" s="14">
        <f>-PMT($B$2/$B$3,$B$3,$B$1)</f>
        <v>50.247340875603619</v>
      </c>
    </row>
    <row r="9" spans="1:6" x14ac:dyDescent="0.3">
      <c r="A9">
        <v>2</v>
      </c>
      <c r="B9" s="8">
        <v>44440</v>
      </c>
      <c r="C9" s="14">
        <v>686.18447645772983</v>
      </c>
      <c r="D9" s="14">
        <v>2.2872815881924331</v>
      </c>
      <c r="E9" s="15">
        <v>48.291967029786903</v>
      </c>
      <c r="F9" s="14">
        <f t="shared" ref="F8:F44" si="0">-PMT($B$2/12,$B$3,$B$1)</f>
        <v>50.579248617979339</v>
      </c>
    </row>
    <row r="10" spans="1:6" x14ac:dyDescent="0.3">
      <c r="A10">
        <v>3</v>
      </c>
      <c r="B10" s="8">
        <v>44470</v>
      </c>
      <c r="C10" s="14">
        <v>637.89250942794297</v>
      </c>
      <c r="D10" s="14">
        <v>2.1263083647598098</v>
      </c>
      <c r="E10" s="15">
        <v>48.452940253219531</v>
      </c>
      <c r="F10" s="14">
        <f t="shared" si="0"/>
        <v>50.579248617979339</v>
      </c>
    </row>
    <row r="11" spans="1:6" x14ac:dyDescent="0.3">
      <c r="A11">
        <v>4</v>
      </c>
      <c r="B11" s="8">
        <v>44501</v>
      </c>
      <c r="C11" s="14">
        <v>589.43956917472349</v>
      </c>
      <c r="D11" s="14">
        <v>1.964798563915745</v>
      </c>
      <c r="E11" s="15">
        <v>48.614450054063596</v>
      </c>
      <c r="F11" s="14">
        <f t="shared" si="0"/>
        <v>50.579248617979339</v>
      </c>
    </row>
    <row r="12" spans="1:6" x14ac:dyDescent="0.3">
      <c r="A12">
        <v>5</v>
      </c>
      <c r="B12" s="8">
        <v>44531</v>
      </c>
      <c r="C12" s="14">
        <v>540.82511912065991</v>
      </c>
      <c r="D12" s="14">
        <v>1.8027503970688665</v>
      </c>
      <c r="E12" s="15">
        <v>48.776498220910469</v>
      </c>
      <c r="F12" s="14">
        <f t="shared" si="0"/>
        <v>50.579248617979339</v>
      </c>
    </row>
    <row r="13" spans="1:6" x14ac:dyDescent="0.3">
      <c r="A13">
        <v>6</v>
      </c>
      <c r="B13" s="8">
        <v>44562</v>
      </c>
      <c r="C13" s="14">
        <v>492.04862089974944</v>
      </c>
      <c r="D13" s="14">
        <v>1.6401620696658314</v>
      </c>
      <c r="E13" s="15">
        <v>48.939086548313504</v>
      </c>
      <c r="F13" s="14">
        <f t="shared" si="0"/>
        <v>50.579248617979339</v>
      </c>
    </row>
    <row r="14" spans="1:6" x14ac:dyDescent="0.3">
      <c r="A14">
        <v>7</v>
      </c>
      <c r="B14" s="8">
        <v>44593</v>
      </c>
      <c r="C14" s="14">
        <v>443.10953435143591</v>
      </c>
      <c r="D14" s="14">
        <v>1.4770317811714533</v>
      </c>
      <c r="E14" s="15">
        <v>49.102216836807884</v>
      </c>
      <c r="F14" s="14">
        <f t="shared" si="0"/>
        <v>50.579248617979339</v>
      </c>
    </row>
    <row r="15" spans="1:6" x14ac:dyDescent="0.3">
      <c r="A15">
        <v>8</v>
      </c>
      <c r="B15" s="8">
        <v>44621</v>
      </c>
      <c r="C15" s="14">
        <v>394.00731751462803</v>
      </c>
      <c r="D15" s="14">
        <v>1.3133577250487602</v>
      </c>
      <c r="E15" s="15">
        <v>49.265890892930578</v>
      </c>
      <c r="F15" s="14">
        <f t="shared" si="0"/>
        <v>50.579248617979339</v>
      </c>
    </row>
    <row r="16" spans="1:6" x14ac:dyDescent="0.3">
      <c r="A16">
        <v>9</v>
      </c>
      <c r="B16" s="8">
        <v>44652</v>
      </c>
      <c r="C16" s="14">
        <v>344.74142662169743</v>
      </c>
      <c r="D16" s="14">
        <v>1.1491380887389915</v>
      </c>
      <c r="E16" s="15">
        <v>49.430110529240345</v>
      </c>
      <c r="F16" s="14">
        <f t="shared" si="0"/>
        <v>50.579248617979339</v>
      </c>
    </row>
    <row r="17" spans="1:6" x14ac:dyDescent="0.3">
      <c r="A17">
        <v>10</v>
      </c>
      <c r="B17" s="8">
        <v>44682</v>
      </c>
      <c r="C17" s="14">
        <v>295.3113160924571</v>
      </c>
      <c r="D17" s="14">
        <v>0.98437105364152377</v>
      </c>
      <c r="E17" s="15">
        <v>49.594877564337814</v>
      </c>
      <c r="F17" s="14">
        <f t="shared" si="0"/>
        <v>50.579248617979339</v>
      </c>
    </row>
    <row r="18" spans="1:6" x14ac:dyDescent="0.3">
      <c r="A18">
        <v>11</v>
      </c>
      <c r="B18" s="8">
        <v>44713</v>
      </c>
      <c r="C18" s="14">
        <v>245.71643852811928</v>
      </c>
      <c r="D18" s="14">
        <v>0.81905479509373103</v>
      </c>
      <c r="E18" s="15">
        <v>49.760193822885604</v>
      </c>
      <c r="F18" s="14">
        <f t="shared" si="0"/>
        <v>50.579248617979339</v>
      </c>
    </row>
    <row r="19" spans="1:6" x14ac:dyDescent="0.3">
      <c r="A19">
        <v>12</v>
      </c>
      <c r="B19" s="8">
        <v>44743</v>
      </c>
      <c r="C19" s="14">
        <v>195.95624470523367</v>
      </c>
      <c r="D19" s="14">
        <v>0.65318748235077895</v>
      </c>
      <c r="E19" s="15">
        <v>49.926061135628558</v>
      </c>
      <c r="F19" s="14">
        <f t="shared" si="0"/>
        <v>50.579248617979339</v>
      </c>
    </row>
    <row r="20" spans="1:6" x14ac:dyDescent="0.3">
      <c r="A20">
        <v>13</v>
      </c>
      <c r="B20" s="8">
        <v>44774</v>
      </c>
      <c r="C20" s="13">
        <v>146.03018356960513</v>
      </c>
      <c r="D20" s="13">
        <v>0.48676727856535046</v>
      </c>
      <c r="E20" s="15">
        <v>50.092481339413986</v>
      </c>
      <c r="F20" s="14">
        <f t="shared" si="0"/>
        <v>50.579248617979339</v>
      </c>
    </row>
    <row r="21" spans="1:6" x14ac:dyDescent="0.3">
      <c r="A21">
        <v>14</v>
      </c>
      <c r="B21" s="8">
        <v>44805</v>
      </c>
      <c r="C21">
        <v>95.93770223019115</v>
      </c>
      <c r="D21">
        <v>0.31979234076730384</v>
      </c>
      <c r="E21" s="15">
        <v>50.259456277212031</v>
      </c>
      <c r="F21" s="14">
        <f t="shared" si="0"/>
        <v>50.579248617979339</v>
      </c>
    </row>
    <row r="22" spans="1:6" x14ac:dyDescent="0.3">
      <c r="A22">
        <v>15</v>
      </c>
      <c r="B22" s="8">
        <v>44835</v>
      </c>
      <c r="C22">
        <v>45.678245952979118</v>
      </c>
      <c r="D22">
        <v>0.15226081984326373</v>
      </c>
      <c r="E22" s="15">
        <v>50.426987798136075</v>
      </c>
      <c r="F22" s="14">
        <f t="shared" si="0"/>
        <v>50.579248617979339</v>
      </c>
    </row>
    <row r="23" spans="1:6" x14ac:dyDescent="0.3">
      <c r="B23" s="8"/>
      <c r="E23" s="15"/>
      <c r="F23" s="14">
        <f t="shared" si="0"/>
        <v>50.579248617979339</v>
      </c>
    </row>
    <row r="24" spans="1:6" x14ac:dyDescent="0.3">
      <c r="B24" s="8"/>
      <c r="E24" s="13"/>
      <c r="F24" s="14">
        <f t="shared" si="0"/>
        <v>50.579248617979339</v>
      </c>
    </row>
    <row r="25" spans="1:6" x14ac:dyDescent="0.3">
      <c r="B25" s="8"/>
      <c r="E25" s="13"/>
      <c r="F25" s="14">
        <f t="shared" si="0"/>
        <v>50.579248617979339</v>
      </c>
    </row>
    <row r="26" spans="1:6" x14ac:dyDescent="0.3">
      <c r="B26" s="8"/>
      <c r="E26" s="13"/>
      <c r="F26" s="14">
        <f t="shared" si="0"/>
        <v>50.579248617979339</v>
      </c>
    </row>
    <row r="27" spans="1:6" x14ac:dyDescent="0.3">
      <c r="B27" s="8"/>
      <c r="F27" s="14">
        <f t="shared" si="0"/>
        <v>50.579248617979339</v>
      </c>
    </row>
    <row r="28" spans="1:6" x14ac:dyDescent="0.3">
      <c r="B28" s="8"/>
      <c r="F28" s="14">
        <f t="shared" si="0"/>
        <v>50.579248617979339</v>
      </c>
    </row>
    <row r="29" spans="1:6" x14ac:dyDescent="0.3">
      <c r="B29" s="8"/>
      <c r="F29" s="14">
        <f t="shared" si="0"/>
        <v>50.579248617979339</v>
      </c>
    </row>
    <row r="30" spans="1:6" x14ac:dyDescent="0.3">
      <c r="F30" s="14">
        <f t="shared" si="0"/>
        <v>50.579248617979339</v>
      </c>
    </row>
    <row r="31" spans="1:6" x14ac:dyDescent="0.3">
      <c r="F31" s="14">
        <f t="shared" si="0"/>
        <v>50.579248617979339</v>
      </c>
    </row>
    <row r="32" spans="1:6" x14ac:dyDescent="0.3">
      <c r="F32" s="14">
        <f t="shared" si="0"/>
        <v>50.579248617979339</v>
      </c>
    </row>
    <row r="33" spans="6:6" x14ac:dyDescent="0.3">
      <c r="F33" s="14">
        <f t="shared" si="0"/>
        <v>50.579248617979339</v>
      </c>
    </row>
    <row r="34" spans="6:6" x14ac:dyDescent="0.3">
      <c r="F34" s="14">
        <f t="shared" si="0"/>
        <v>50.579248617979339</v>
      </c>
    </row>
    <row r="35" spans="6:6" x14ac:dyDescent="0.3">
      <c r="F35" s="14">
        <f t="shared" si="0"/>
        <v>50.579248617979339</v>
      </c>
    </row>
    <row r="36" spans="6:6" x14ac:dyDescent="0.3">
      <c r="F36" s="14">
        <f t="shared" si="0"/>
        <v>50.579248617979339</v>
      </c>
    </row>
    <row r="37" spans="6:6" x14ac:dyDescent="0.3">
      <c r="F37" s="14">
        <f t="shared" si="0"/>
        <v>50.579248617979339</v>
      </c>
    </row>
    <row r="38" spans="6:6" x14ac:dyDescent="0.3">
      <c r="F38" s="14">
        <f t="shared" si="0"/>
        <v>50.579248617979339</v>
      </c>
    </row>
    <row r="39" spans="6:6" x14ac:dyDescent="0.3">
      <c r="F39" s="14">
        <f t="shared" si="0"/>
        <v>50.579248617979339</v>
      </c>
    </row>
    <row r="40" spans="6:6" x14ac:dyDescent="0.3">
      <c r="F40" s="14">
        <f t="shared" si="0"/>
        <v>50.579248617979339</v>
      </c>
    </row>
    <row r="41" spans="6:6" x14ac:dyDescent="0.3">
      <c r="F41" s="14">
        <f t="shared" si="0"/>
        <v>50.579248617979339</v>
      </c>
    </row>
    <row r="42" spans="6:6" x14ac:dyDescent="0.3">
      <c r="F42" s="14">
        <f t="shared" si="0"/>
        <v>50.579248617979339</v>
      </c>
    </row>
    <row r="43" spans="6:6" x14ac:dyDescent="0.3">
      <c r="F43" s="14">
        <f t="shared" si="0"/>
        <v>50.579248617979339</v>
      </c>
    </row>
    <row r="44" spans="6:6" x14ac:dyDescent="0.3">
      <c r="F44" s="14">
        <f t="shared" si="0"/>
        <v>50.579248617979339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72" r:id="rId4" name="CommandButton1">
          <controlPr defaultSize="0" autoLine="0" r:id="rId5">
            <anchor moveWithCells="1">
              <from>
                <xdr:col>9</xdr:col>
                <xdr:colOff>198120</xdr:colOff>
                <xdr:row>6</xdr:row>
                <xdr:rowOff>327660</xdr:rowOff>
              </from>
              <to>
                <xdr:col>11</xdr:col>
                <xdr:colOff>411480</xdr:colOff>
                <xdr:row>8</xdr:row>
                <xdr:rowOff>167640</xdr:rowOff>
              </to>
            </anchor>
          </controlPr>
        </control>
      </mc:Choice>
      <mc:Fallback>
        <control shapeId="7172" r:id="rId4" name="CommandButton1"/>
      </mc:Fallback>
    </mc:AlternateContent>
    <mc:AlternateContent xmlns:mc="http://schemas.openxmlformats.org/markup-compatibility/2006">
      <mc:Choice Requires="x14">
        <control shapeId="7171" r:id="rId6" name="Button 3">
          <controlPr defaultSize="0" print="0" autoFill="0" autoPict="0" macro="[0]!Macro3">
            <anchor moveWithCells="1" sizeWithCells="1">
              <from>
                <xdr:col>9</xdr:col>
                <xdr:colOff>213360</xdr:colOff>
                <xdr:row>9</xdr:row>
                <xdr:rowOff>129540</xdr:rowOff>
              </from>
              <to>
                <xdr:col>11</xdr:col>
                <xdr:colOff>419100</xdr:colOff>
                <xdr:row>12</xdr:row>
                <xdr:rowOff>60960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Feuil4</vt:lpstr>
      <vt:lpstr>client</vt:lpstr>
      <vt:lpstr>catalogue</vt:lpstr>
      <vt:lpstr>facture</vt:lpstr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nizar</dc:title>
  <dc:creator>Home</dc:creator>
  <cp:lastModifiedBy>Home</cp:lastModifiedBy>
  <dcterms:created xsi:type="dcterms:W3CDTF">2021-06-25T14:40:21Z</dcterms:created>
  <dcterms:modified xsi:type="dcterms:W3CDTF">2021-07-06T19:49:47Z</dcterms:modified>
</cp:coreProperties>
</file>